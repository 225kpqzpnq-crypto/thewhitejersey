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amesmoffat/Development/the-white-jersey/apps/rowing/"/>
    </mc:Choice>
  </mc:AlternateContent>
  <xr:revisionPtr revIDLastSave="0" documentId="8_{1397FD88-CEEF-4C4E-BA59-385328819D25}" xr6:coauthVersionLast="47" xr6:coauthVersionMax="47" xr10:uidLastSave="{00000000-0000-0000-0000-000000000000}"/>
  <bookViews>
    <workbookView xWindow="0" yWindow="800" windowWidth="34200" windowHeight="21440" xr2:uid="{00000000-000D-0000-FFFF-FFFF00000000}"/>
  </bookViews>
  <sheets>
    <sheet name="Training Zone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6Z1sVnFqXGW0edh5W0sDq3Fqwb0Iy18BQnwvMh7fQk="/>
    </ext>
  </extLst>
</workbook>
</file>

<file path=xl/calcChain.xml><?xml version="1.0" encoding="utf-8"?>
<calcChain xmlns="http://schemas.openxmlformats.org/spreadsheetml/2006/main">
  <c r="C84" i="1" l="1"/>
  <c r="P83" i="1" s="1"/>
  <c r="C83" i="1"/>
  <c r="P82" i="1" s="1"/>
  <c r="C82" i="1"/>
  <c r="C81" i="1"/>
  <c r="P80" i="1" s="1"/>
  <c r="C80" i="1"/>
  <c r="P79" i="1"/>
  <c r="P81" i="1" s="1"/>
  <c r="H15" i="1"/>
  <c r="H16" i="1" s="1"/>
  <c r="C15" i="1"/>
  <c r="C16" i="1" s="1"/>
  <c r="G90" i="1" l="1"/>
  <c r="I90" i="1" s="1"/>
  <c r="F90" i="1"/>
  <c r="G91" i="1"/>
  <c r="I91" i="1" s="1"/>
  <c r="F91" i="1"/>
  <c r="G89" i="1"/>
  <c r="I89" i="1" s="1"/>
  <c r="G87" i="1"/>
  <c r="G88" i="1"/>
  <c r="I88" i="1" s="1"/>
  <c r="F87" i="1"/>
  <c r="G92" i="1"/>
  <c r="I92" i="1" s="1"/>
  <c r="F92" i="1"/>
  <c r="F88" i="1"/>
  <c r="F89" i="1"/>
  <c r="E89" i="1"/>
  <c r="E87" i="1"/>
  <c r="D89" i="1"/>
  <c r="C21" i="1" s="1"/>
  <c r="E90" i="1"/>
  <c r="D90" i="1"/>
  <c r="C22" i="1" s="1"/>
  <c r="E91" i="1"/>
  <c r="E88" i="1"/>
  <c r="D88" i="1"/>
  <c r="C20" i="1" s="1"/>
  <c r="D91" i="1"/>
  <c r="E92" i="1"/>
  <c r="D92" i="1"/>
  <c r="C24" i="1" s="1"/>
  <c r="H91" i="1" l="1"/>
  <c r="G23" i="1"/>
  <c r="H89" i="1"/>
  <c r="G21" i="1"/>
  <c r="G22" i="1"/>
  <c r="H90" i="1"/>
  <c r="G24" i="1"/>
  <c r="H92" i="1"/>
  <c r="C23" i="1"/>
  <c r="H88" i="1"/>
  <c r="D20" i="1" s="1"/>
  <c r="G20" i="1"/>
  <c r="J92" i="1" l="1"/>
  <c r="K92" i="1" s="1"/>
  <c r="D24" i="1" s="1"/>
  <c r="J90" i="1"/>
  <c r="K90" i="1" s="1"/>
  <c r="D22" i="1" s="1"/>
  <c r="J89" i="1"/>
  <c r="K89" i="1" s="1"/>
  <c r="D21" i="1" s="1"/>
  <c r="J91" i="1"/>
  <c r="K91" i="1" s="1"/>
  <c r="D23" i="1" s="1"/>
</calcChain>
</file>

<file path=xl/sharedStrings.xml><?xml version="1.0" encoding="utf-8"?>
<sst xmlns="http://schemas.openxmlformats.org/spreadsheetml/2006/main" count="94" uniqueCount="85">
  <si>
    <t>Training Zone Calculator</t>
  </si>
  <si>
    <t>ONLY ENTER DATA IN BLUE CELLS</t>
  </si>
  <si>
    <t>Enter Your Details</t>
  </si>
  <si>
    <t>Fill in all known details in the blue boxes.  If resting Heart Rate is not known, then default is 70.</t>
  </si>
  <si>
    <t>To calculate resting heart rate take HR on waking up, before getting out of bed.</t>
  </si>
  <si>
    <t>Enter your personal information</t>
  </si>
  <si>
    <t>Name:</t>
  </si>
  <si>
    <t>James Moffat</t>
  </si>
  <si>
    <t>Age:</t>
  </si>
  <si>
    <t>Resting Heart Rate:</t>
  </si>
  <si>
    <t>(if known)</t>
  </si>
  <si>
    <t>Max Heart Rate:</t>
  </si>
  <si>
    <t>Current 2KM Erg Time</t>
  </si>
  <si>
    <t>(00:mm:ss:0)</t>
  </si>
  <si>
    <t>Current 1KM Erg Time</t>
  </si>
  <si>
    <t>(if no 2KM time)</t>
  </si>
  <si>
    <t>Calculated Results</t>
  </si>
  <si>
    <t>HR Calculated Results</t>
  </si>
  <si>
    <t>2K Performance (real or calculated)</t>
  </si>
  <si>
    <t>Calculated Max Heart Rate</t>
  </si>
  <si>
    <t>2K Time</t>
  </si>
  <si>
    <t>Calculated Heart Rate Reserve</t>
  </si>
  <si>
    <t>2K Watts</t>
  </si>
  <si>
    <t>Band</t>
  </si>
  <si>
    <t>% Heart Rate Reserve</t>
  </si>
  <si>
    <t>Heart Rate</t>
  </si>
  <si>
    <t>Pace / Split</t>
  </si>
  <si>
    <t>Rate (spm)</t>
  </si>
  <si>
    <t>% of 2K Power</t>
  </si>
  <si>
    <t>Watts</t>
  </si>
  <si>
    <t>Example Session</t>
  </si>
  <si>
    <r>
      <rPr>
        <b/>
        <sz val="16"/>
        <color theme="1"/>
        <rFont val="Aptos Narrow"/>
      </rPr>
      <t>UT2</t>
    </r>
    <r>
      <rPr>
        <sz val="8"/>
        <color theme="1"/>
        <rFont val="Aptos Narrow"/>
      </rPr>
      <t>Aerobic Capacity</t>
    </r>
  </si>
  <si>
    <t>60-70%</t>
  </si>
  <si>
    <t>16-18</t>
  </si>
  <si>
    <t>50-60%</t>
  </si>
  <si>
    <t>2-3 x 20-30'</t>
  </si>
  <si>
    <r>
      <rPr>
        <b/>
        <sz val="16"/>
        <color theme="1"/>
        <rFont val="Aptos Narrow"/>
      </rPr>
      <t>UT1</t>
    </r>
    <r>
      <rPr>
        <sz val="8"/>
        <color theme="1"/>
        <rFont val="Aptos Narrow"/>
      </rPr>
      <t>Aerobic Endurance</t>
    </r>
  </si>
  <si>
    <t>70-80%</t>
  </si>
  <si>
    <t>18-22</t>
  </si>
  <si>
    <t>60 - 70%</t>
  </si>
  <si>
    <t>6 x 10' on / 2' off</t>
  </si>
  <si>
    <r>
      <rPr>
        <b/>
        <sz val="16"/>
        <color theme="1"/>
        <rFont val="Aptos Narrow"/>
      </rPr>
      <t>AT</t>
    </r>
    <r>
      <rPr>
        <sz val="8"/>
        <color theme="1"/>
        <rFont val="Aptos Narrow"/>
      </rPr>
      <t>Threshold</t>
    </r>
  </si>
  <si>
    <t>80-85%</t>
  </si>
  <si>
    <t>24 - 28</t>
  </si>
  <si>
    <t>70 - 80%</t>
  </si>
  <si>
    <t>8 x 1KM, 4 x 2KM</t>
  </si>
  <si>
    <r>
      <rPr>
        <b/>
        <sz val="16"/>
        <color theme="1"/>
        <rFont val="Aptos Narrow"/>
      </rPr>
      <t>TR</t>
    </r>
    <r>
      <rPr>
        <sz val="8"/>
        <color theme="1"/>
        <rFont val="Aptos Narrow"/>
      </rPr>
      <t>Transport</t>
    </r>
  </si>
  <si>
    <t>85-95%</t>
  </si>
  <si>
    <t>26 - 32</t>
  </si>
  <si>
    <t>80 - 90%</t>
  </si>
  <si>
    <t>4 x (1' on / off x 4)</t>
  </si>
  <si>
    <r>
      <rPr>
        <b/>
        <sz val="14"/>
        <color theme="1"/>
        <rFont val="Aptos Narrow"/>
      </rPr>
      <t>AN</t>
    </r>
    <r>
      <rPr>
        <sz val="8"/>
        <color theme="1"/>
        <rFont val="Aptos Narrow"/>
      </rPr>
      <t>Anaerobic</t>
    </r>
  </si>
  <si>
    <t>95-100%</t>
  </si>
  <si>
    <t>32+</t>
  </si>
  <si>
    <t>110%+</t>
  </si>
  <si>
    <t>7 x (1' on / 7' off)</t>
  </si>
  <si>
    <t>If you need any specific assistance contact Sam at coachsam@topcrewacademy.com.au or on WhatsApp +61404233692</t>
  </si>
  <si>
    <t>Name</t>
  </si>
  <si>
    <t>Max HR</t>
  </si>
  <si>
    <t>Age</t>
  </si>
  <si>
    <t>Resting HR</t>
  </si>
  <si>
    <t>Resting Heart Rate (if known)</t>
  </si>
  <si>
    <t>(take on waking, before getting out of bed)</t>
  </si>
  <si>
    <t>HRR</t>
  </si>
  <si>
    <t>Maximum Heart Rate (if known)</t>
  </si>
  <si>
    <t>(take immediately following high intensity interval session)</t>
  </si>
  <si>
    <t>Current 2K time (if known)</t>
  </si>
  <si>
    <t>(enter as mm:ss.0)</t>
  </si>
  <si>
    <t>2K from 1K</t>
  </si>
  <si>
    <t>Current 1K time (if known)</t>
  </si>
  <si>
    <t>TRAINING ZONES</t>
  </si>
  <si>
    <t>Heart Rate Range</t>
  </si>
  <si>
    <t>Calculated Heart Rate Range</t>
  </si>
  <si>
    <t xml:space="preserve">Watts </t>
  </si>
  <si>
    <t>Pace</t>
  </si>
  <si>
    <t>UT3</t>
  </si>
  <si>
    <t>&lt;60%</t>
  </si>
  <si>
    <t>Less than</t>
  </si>
  <si>
    <t>=</t>
  </si>
  <si>
    <t>UT2</t>
  </si>
  <si>
    <t>UT1</t>
  </si>
  <si>
    <t>AT</t>
  </si>
  <si>
    <t>TR</t>
  </si>
  <si>
    <t>AN</t>
  </si>
  <si>
    <t>&gt;95%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</si>
</sst>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scheme val="minor"/>
    </font>
    <font>
      <b/>
      <sz val="16"/>
      <color theme="1"/>
      <name val="Aptos Narrow"/>
    </font>
    <font>
      <sz val="11"/>
      <color theme="1"/>
      <name val="Aptos Narrow"/>
    </font>
    <font>
      <b/>
      <sz val="12"/>
      <color theme="1"/>
      <name val="Aptos Narrow"/>
    </font>
    <font>
      <sz val="16"/>
      <color theme="1"/>
      <name val="Aptos Narrow"/>
    </font>
    <font>
      <sz val="9"/>
      <color theme="1"/>
      <name val="Aptos Narrow"/>
    </font>
    <font>
      <b/>
      <sz val="9"/>
      <color theme="1"/>
      <name val="Aptos Narrow"/>
    </font>
    <font>
      <sz val="11"/>
      <name val="Aptos Narrow"/>
    </font>
    <font>
      <sz val="11"/>
      <color theme="1"/>
      <name val="Arial"/>
    </font>
    <font>
      <b/>
      <sz val="12"/>
      <color theme="1"/>
      <name val="Arial"/>
    </font>
    <font>
      <b/>
      <u/>
      <sz val="16"/>
      <color theme="1"/>
      <name val="Aptos Narrow"/>
    </font>
    <font>
      <sz val="8"/>
      <color theme="1"/>
      <name val="Aptos Narrow"/>
    </font>
    <font>
      <b/>
      <sz val="8"/>
      <color theme="1"/>
      <name val="Aptos Narrow"/>
    </font>
    <font>
      <b/>
      <sz val="9"/>
      <color rgb="FFFFFFFF"/>
      <name val="Aptos Narrow"/>
    </font>
    <font>
      <b/>
      <sz val="11"/>
      <color theme="1"/>
      <name val="Aptos Narrow"/>
    </font>
    <font>
      <sz val="8"/>
      <color theme="1"/>
      <name val="Arial"/>
    </font>
    <font>
      <sz val="11"/>
      <color theme="1"/>
      <name val="Aptos Narrow"/>
    </font>
    <font>
      <b/>
      <sz val="14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D94D8"/>
        <bgColor rgb="FF4D94D8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3" borderId="3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3" fillId="0" borderId="0" xfId="0" applyFont="1"/>
    <xf numFmtId="164" fontId="9" fillId="0" borderId="0" xfId="0" applyNumberFormat="1" applyFont="1" applyAlignment="1">
      <alignment horizontal="center"/>
    </xf>
    <xf numFmtId="21" fontId="8" fillId="3" borderId="7" xfId="0" applyNumberFormat="1" applyFont="1" applyFill="1" applyBorder="1" applyAlignment="1">
      <alignment horizontal="center"/>
    </xf>
    <xf numFmtId="0" fontId="9" fillId="0" borderId="0" xfId="0" applyFont="1"/>
    <xf numFmtId="46" fontId="8" fillId="3" borderId="7" xfId="0" applyNumberFormat="1" applyFont="1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2" fillId="4" borderId="11" xfId="0" applyFont="1" applyFill="1" applyBorder="1" applyAlignment="1">
      <alignment horizontal="center"/>
    </xf>
    <xf numFmtId="47" fontId="2" fillId="4" borderId="11" xfId="0" applyNumberFormat="1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2" fontId="2" fillId="4" borderId="13" xfId="0" applyNumberFormat="1" applyFont="1" applyFill="1" applyBorder="1" applyAlignment="1">
      <alignment horizontal="center"/>
    </xf>
    <xf numFmtId="0" fontId="13" fillId="5" borderId="14" xfId="0" applyFont="1" applyFill="1" applyBorder="1" applyAlignment="1">
      <alignment horizontal="center"/>
    </xf>
    <xf numFmtId="0" fontId="13" fillId="5" borderId="14" xfId="0" applyFont="1" applyFill="1" applyBorder="1" applyAlignment="1">
      <alignment horizontal="center" wrapText="1"/>
    </xf>
    <xf numFmtId="0" fontId="13" fillId="5" borderId="15" xfId="0" applyFont="1" applyFill="1" applyBorder="1" applyAlignment="1">
      <alignment horizontal="center" wrapText="1"/>
    </xf>
    <xf numFmtId="0" fontId="13" fillId="5" borderId="16" xfId="0" applyFont="1" applyFill="1" applyBorder="1" applyAlignment="1">
      <alignment horizontal="center"/>
    </xf>
    <xf numFmtId="0" fontId="2" fillId="0" borderId="17" xfId="0" applyFont="1" applyBorder="1"/>
    <xf numFmtId="0" fontId="11" fillId="0" borderId="17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47" fontId="12" fillId="0" borderId="18" xfId="0" applyNumberFormat="1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1" fontId="12" fillId="0" borderId="19" xfId="0" applyNumberFormat="1" applyFont="1" applyBorder="1" applyAlignment="1">
      <alignment horizontal="center"/>
    </xf>
    <xf numFmtId="0" fontId="2" fillId="6" borderId="20" xfId="0" applyFont="1" applyFill="1" applyBorder="1"/>
    <xf numFmtId="0" fontId="11" fillId="6" borderId="20" xfId="0" applyFont="1" applyFill="1" applyBorder="1" applyAlignment="1">
      <alignment horizontal="center"/>
    </xf>
    <xf numFmtId="0" fontId="12" fillId="6" borderId="20" xfId="0" applyFont="1" applyFill="1" applyBorder="1" applyAlignment="1">
      <alignment horizontal="center"/>
    </xf>
    <xf numFmtId="47" fontId="12" fillId="6" borderId="21" xfId="0" applyNumberFormat="1" applyFont="1" applyFill="1" applyBorder="1" applyAlignment="1">
      <alignment horizontal="center"/>
    </xf>
    <xf numFmtId="0" fontId="14" fillId="6" borderId="20" xfId="0" applyFont="1" applyFill="1" applyBorder="1" applyAlignment="1">
      <alignment horizontal="center"/>
    </xf>
    <xf numFmtId="1" fontId="12" fillId="6" borderId="22" xfId="0" applyNumberFormat="1" applyFont="1" applyFill="1" applyBorder="1" applyAlignment="1">
      <alignment horizontal="center"/>
    </xf>
    <xf numFmtId="0" fontId="15" fillId="6" borderId="20" xfId="0" applyFont="1" applyFill="1" applyBorder="1" applyAlignment="1">
      <alignment horizontal="center"/>
    </xf>
    <xf numFmtId="0" fontId="2" fillId="0" borderId="23" xfId="0" applyFont="1" applyBorder="1"/>
    <xf numFmtId="0" fontId="11" fillId="0" borderId="23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47" fontId="12" fillId="0" borderId="24" xfId="0" applyNumberFormat="1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1" fontId="12" fillId="0" borderId="25" xfId="0" applyNumberFormat="1" applyFont="1" applyBorder="1" applyAlignment="1">
      <alignment horizontal="center"/>
    </xf>
    <xf numFmtId="0" fontId="16" fillId="6" borderId="20" xfId="0" applyFont="1" applyFill="1" applyBorder="1"/>
    <xf numFmtId="0" fontId="2" fillId="6" borderId="26" xfId="0" applyFont="1" applyFill="1" applyBorder="1"/>
    <xf numFmtId="0" fontId="2" fillId="0" borderId="0" xfId="0" applyFont="1" applyAlignment="1">
      <alignment horizontal="right"/>
    </xf>
    <xf numFmtId="0" fontId="2" fillId="2" borderId="26" xfId="0" applyFont="1" applyFill="1" applyBorder="1"/>
    <xf numFmtId="0" fontId="2" fillId="2" borderId="26" xfId="0" applyFont="1" applyFill="1" applyBorder="1" applyAlignment="1">
      <alignment horizontal="right"/>
    </xf>
    <xf numFmtId="2" fontId="2" fillId="0" borderId="0" xfId="0" applyNumberFormat="1" applyFont="1" applyAlignment="1">
      <alignment horizontal="right"/>
    </xf>
    <xf numFmtId="46" fontId="8" fillId="2" borderId="26" xfId="0" applyNumberFormat="1" applyFont="1" applyFill="1" applyBorder="1" applyAlignment="1">
      <alignment horizontal="right"/>
    </xf>
    <xf numFmtId="47" fontId="2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8" xfId="0" applyFont="1" applyBorder="1" applyAlignment="1">
      <alignment horizontal="center"/>
    </xf>
    <xf numFmtId="0" fontId="7" fillId="0" borderId="9" xfId="0" applyFont="1" applyBorder="1"/>
    <xf numFmtId="0" fontId="2" fillId="0" borderId="1" xfId="0" applyFont="1" applyBorder="1" applyAlignment="1">
      <alignment wrapText="1"/>
    </xf>
    <xf numFmtId="0" fontId="7" fillId="0" borderId="10" xfId="0" applyFont="1" applyBorder="1"/>
    <xf numFmtId="0" fontId="2" fillId="0" borderId="8" xfId="0" applyFont="1" applyBorder="1" applyAlignment="1">
      <alignment wrapText="1"/>
    </xf>
    <xf numFmtId="0" fontId="7" fillId="0" borderId="12" xfId="0" applyFont="1" applyBorder="1"/>
    <xf numFmtId="0" fontId="2" fillId="0" borderId="1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0" fillId="0" borderId="0" xfId="0"/>
    <xf numFmtId="0" fontId="3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2" xfId="0" applyFont="1" applyBorder="1"/>
    <xf numFmtId="0" fontId="2" fillId="0" borderId="4" xfId="0" applyFont="1" applyBorder="1" applyAlignment="1">
      <alignment horizontal="center"/>
    </xf>
    <xf numFmtId="0" fontId="7" fillId="0" borderId="5" xfId="0" applyFont="1" applyBorder="1"/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92"/>
  <sheetViews>
    <sheetView tabSelected="1" workbookViewId="0"/>
  </sheetViews>
  <sheetFormatPr baseColWidth="10" defaultColWidth="12.6640625" defaultRowHeight="15" customHeight="1" x14ac:dyDescent="0.2"/>
  <cols>
    <col min="1" max="1" width="16.6640625" customWidth="1"/>
  </cols>
  <sheetData>
    <row r="1" spans="1:17" ht="15" customHeight="1" x14ac:dyDescent="0.3">
      <c r="A1" s="1" t="s">
        <v>0</v>
      </c>
      <c r="B1" s="2"/>
      <c r="C1" s="2"/>
      <c r="D1" s="67" t="s">
        <v>1</v>
      </c>
      <c r="E1" s="66"/>
      <c r="F1" s="66"/>
      <c r="G1" s="66"/>
      <c r="H1" s="66"/>
      <c r="I1" s="2"/>
      <c r="J1" s="2"/>
      <c r="K1" s="2"/>
      <c r="L1" s="2"/>
      <c r="M1" s="2"/>
      <c r="N1" s="2"/>
      <c r="O1" s="2"/>
      <c r="P1" s="2"/>
      <c r="Q1" s="2"/>
    </row>
    <row r="2" spans="1:17" ht="15" customHeight="1" x14ac:dyDescent="0.3">
      <c r="A2" s="3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4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">
      <c r="A4" s="4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">
      <c r="A5" s="5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">
      <c r="A6" s="68" t="s">
        <v>6</v>
      </c>
      <c r="B6" s="69"/>
      <c r="C6" s="6" t="s">
        <v>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">
      <c r="A7" s="70" t="s">
        <v>8</v>
      </c>
      <c r="B7" s="71"/>
      <c r="C7" s="7">
        <v>28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">
      <c r="A8" s="70" t="s">
        <v>9</v>
      </c>
      <c r="B8" s="71"/>
      <c r="C8" s="7">
        <v>55</v>
      </c>
      <c r="D8" s="8" t="s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">
      <c r="A9" s="70" t="s">
        <v>11</v>
      </c>
      <c r="B9" s="71"/>
      <c r="C9" s="7">
        <v>195</v>
      </c>
      <c r="D9" s="8" t="s">
        <v>10</v>
      </c>
      <c r="E9" s="2"/>
      <c r="F9" s="2"/>
      <c r="G9" s="9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">
      <c r="A10" s="70" t="s">
        <v>12</v>
      </c>
      <c r="B10" s="71"/>
      <c r="C10" s="10">
        <v>4.7453703703703703E-3</v>
      </c>
      <c r="D10" s="11" t="s">
        <v>13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">
      <c r="A11" s="57" t="s">
        <v>14</v>
      </c>
      <c r="B11" s="58"/>
      <c r="C11" s="12">
        <v>2.4537037037037036E-3</v>
      </c>
      <c r="D11" s="8" t="s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5" customHeight="1" x14ac:dyDescent="0.3">
      <c r="A13" s="72" t="s">
        <v>16</v>
      </c>
      <c r="B13" s="66"/>
      <c r="C13" s="66"/>
      <c r="D13" s="66"/>
      <c r="E13" s="66"/>
      <c r="F13" s="66"/>
      <c r="G13" s="66"/>
      <c r="H13" s="66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">
      <c r="A14" s="13" t="s">
        <v>17</v>
      </c>
      <c r="B14" s="2"/>
      <c r="C14" s="2"/>
      <c r="D14" s="2"/>
      <c r="E14" s="2"/>
      <c r="F14" s="14" t="s">
        <v>18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">
      <c r="A15" s="59" t="s">
        <v>19</v>
      </c>
      <c r="B15" s="60"/>
      <c r="C15" s="15">
        <f>IF(C9&gt;0,C9,220-C7)</f>
        <v>195</v>
      </c>
      <c r="D15" s="2"/>
      <c r="E15" s="2"/>
      <c r="F15" s="63" t="s">
        <v>20</v>
      </c>
      <c r="G15" s="60"/>
      <c r="H15" s="16">
        <f>IF(C10&gt;0,C10,IF(C11&gt;0,((C11/2+Q84)*4),""))</f>
        <v>4.7453703703703703E-3</v>
      </c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">
      <c r="A16" s="61" t="s">
        <v>21</v>
      </c>
      <c r="B16" s="62"/>
      <c r="C16" s="17">
        <f>C15-IF(C8&gt;0,C8,70)</f>
        <v>140</v>
      </c>
      <c r="D16" s="2"/>
      <c r="E16" s="2"/>
      <c r="F16" s="64" t="s">
        <v>22</v>
      </c>
      <c r="G16" s="62"/>
      <c r="H16" s="18">
        <f>IFERROR(2.8/((H15/4*86400)/500)^3,"")</f>
        <v>325.00979382191213</v>
      </c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">
      <c r="A19" s="19" t="s">
        <v>23</v>
      </c>
      <c r="B19" s="20" t="s">
        <v>24</v>
      </c>
      <c r="C19" s="19" t="s">
        <v>25</v>
      </c>
      <c r="D19" s="21" t="s">
        <v>26</v>
      </c>
      <c r="E19" s="19" t="s">
        <v>27</v>
      </c>
      <c r="F19" s="19" t="s">
        <v>28</v>
      </c>
      <c r="G19" s="22" t="s">
        <v>29</v>
      </c>
      <c r="H19" s="19" t="s">
        <v>30</v>
      </c>
      <c r="I19" s="2"/>
      <c r="J19" s="2"/>
      <c r="K19" s="2"/>
      <c r="L19" s="2"/>
      <c r="M19" s="2"/>
      <c r="N19" s="2"/>
      <c r="O19" s="2"/>
      <c r="P19" s="2"/>
      <c r="Q19" s="2"/>
    </row>
    <row r="20" spans="1:17" ht="15" customHeight="1" x14ac:dyDescent="0.3">
      <c r="A20" s="23" t="s">
        <v>31</v>
      </c>
      <c r="B20" s="24" t="s">
        <v>32</v>
      </c>
      <c r="C20" s="25" t="str">
        <f t="shared" ref="C20:C24" si="0">INT(D88)&amp;" - "&amp;INT(E88)</f>
        <v>139 - 153</v>
      </c>
      <c r="D20" s="26">
        <f>H88</f>
        <v>1.4848641805900024E-3</v>
      </c>
      <c r="E20" s="27" t="s">
        <v>33</v>
      </c>
      <c r="F20" s="24" t="s">
        <v>34</v>
      </c>
      <c r="G20" s="28" t="str">
        <f t="shared" ref="G20:G23" si="1">INT(F88)&amp;" - "&amp;INT(G88)</f>
        <v>165 - 195</v>
      </c>
      <c r="H20" s="24" t="s">
        <v>35</v>
      </c>
      <c r="I20" s="2"/>
      <c r="J20" s="2"/>
      <c r="K20" s="2"/>
      <c r="L20" s="2"/>
      <c r="M20" s="2"/>
      <c r="N20" s="2"/>
      <c r="O20" s="2"/>
      <c r="P20" s="2"/>
      <c r="Q20" s="2"/>
    </row>
    <row r="21" spans="1:17" ht="15" customHeight="1" x14ac:dyDescent="0.3">
      <c r="A21" s="29" t="s">
        <v>36</v>
      </c>
      <c r="B21" s="30" t="s">
        <v>37</v>
      </c>
      <c r="C21" s="31" t="str">
        <f t="shared" si="0"/>
        <v>153 - 167</v>
      </c>
      <c r="D21" s="32">
        <f t="shared" ref="D21:D24" si="2">K89</f>
        <v>1.3713402525976858E-3</v>
      </c>
      <c r="E21" s="33" t="s">
        <v>38</v>
      </c>
      <c r="F21" s="30" t="s">
        <v>39</v>
      </c>
      <c r="G21" s="34" t="str">
        <f t="shared" si="1"/>
        <v>195 - 227</v>
      </c>
      <c r="H21" s="24" t="s">
        <v>40</v>
      </c>
      <c r="I21" s="2"/>
      <c r="J21" s="2"/>
      <c r="K21" s="2"/>
      <c r="L21" s="2"/>
      <c r="M21" s="2"/>
      <c r="N21" s="2"/>
      <c r="O21" s="2"/>
      <c r="P21" s="2"/>
      <c r="Q21" s="2"/>
    </row>
    <row r="22" spans="1:17" ht="15" customHeight="1" x14ac:dyDescent="0.3">
      <c r="A22" s="23" t="s">
        <v>41</v>
      </c>
      <c r="B22" s="24" t="s">
        <v>42</v>
      </c>
      <c r="C22" s="25" t="str">
        <f t="shared" si="0"/>
        <v>167 - 174</v>
      </c>
      <c r="D22" s="26">
        <f t="shared" si="2"/>
        <v>1.3070323241296509E-3</v>
      </c>
      <c r="E22" s="27" t="s">
        <v>43</v>
      </c>
      <c r="F22" s="24" t="s">
        <v>44</v>
      </c>
      <c r="G22" s="28" t="str">
        <f t="shared" si="1"/>
        <v>227 - 260</v>
      </c>
      <c r="H22" s="24" t="s">
        <v>45</v>
      </c>
      <c r="I22" s="2"/>
      <c r="J22" s="2"/>
      <c r="K22" s="2"/>
      <c r="L22" s="2"/>
      <c r="M22" s="2"/>
      <c r="N22" s="2"/>
      <c r="O22" s="2"/>
      <c r="P22" s="2"/>
      <c r="Q22" s="2"/>
    </row>
    <row r="23" spans="1:17" ht="15" customHeight="1" x14ac:dyDescent="0.3">
      <c r="A23" s="29" t="s">
        <v>46</v>
      </c>
      <c r="B23" s="30" t="s">
        <v>47</v>
      </c>
      <c r="C23" s="31" t="str">
        <f t="shared" si="0"/>
        <v>174 - 188</v>
      </c>
      <c r="D23" s="32">
        <f t="shared" si="2"/>
        <v>1.2533481200861741E-3</v>
      </c>
      <c r="E23" s="33" t="s">
        <v>48</v>
      </c>
      <c r="F23" s="35" t="s">
        <v>49</v>
      </c>
      <c r="G23" s="34" t="str">
        <f t="shared" si="1"/>
        <v>260 - 292</v>
      </c>
      <c r="H23" s="24" t="s">
        <v>50</v>
      </c>
      <c r="I23" s="2"/>
      <c r="J23" s="2"/>
      <c r="K23" s="2"/>
      <c r="L23" s="2"/>
      <c r="M23" s="2"/>
      <c r="N23" s="2"/>
      <c r="O23" s="2"/>
      <c r="P23" s="2"/>
      <c r="Q23" s="2"/>
    </row>
    <row r="24" spans="1:17" ht="15" customHeight="1" x14ac:dyDescent="0.25">
      <c r="A24" s="36" t="s">
        <v>51</v>
      </c>
      <c r="B24" s="37" t="s">
        <v>52</v>
      </c>
      <c r="C24" s="38" t="str">
        <f t="shared" si="0"/>
        <v>188 - 195</v>
      </c>
      <c r="D24" s="39">
        <f t="shared" si="2"/>
        <v>1.0855812632434066E-3</v>
      </c>
      <c r="E24" s="40" t="s">
        <v>53</v>
      </c>
      <c r="F24" s="41" t="s">
        <v>54</v>
      </c>
      <c r="G24" s="42" t="str">
        <f>INT(F92)&amp;"+"</f>
        <v>341+</v>
      </c>
      <c r="H24" s="37" t="s">
        <v>55</v>
      </c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">
      <c r="A25" s="43" t="s">
        <v>56</v>
      </c>
      <c r="B25" s="44"/>
      <c r="C25" s="44"/>
      <c r="D25" s="44"/>
      <c r="E25" s="44"/>
      <c r="F25" s="44"/>
      <c r="G25" s="44"/>
      <c r="H25" s="44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2">
      <c r="A79" s="45" t="s">
        <v>57</v>
      </c>
      <c r="B79" s="2"/>
      <c r="C79" s="46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 t="s">
        <v>58</v>
      </c>
      <c r="P79" s="45">
        <f>IF(C9&gt;0,C9,220-C80)</f>
        <v>195</v>
      </c>
      <c r="Q79" s="2"/>
    </row>
    <row r="80" spans="1:17" x14ac:dyDescent="0.2">
      <c r="A80" s="45" t="s">
        <v>59</v>
      </c>
      <c r="B80" s="2"/>
      <c r="C80" s="47">
        <f t="shared" ref="C80:C84" si="3">C7</f>
        <v>28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 t="s">
        <v>60</v>
      </c>
      <c r="P80" s="45">
        <f>IF(C81&gt;0,C81,70)</f>
        <v>55</v>
      </c>
      <c r="Q80" s="2"/>
    </row>
    <row r="81" spans="1:17" x14ac:dyDescent="0.2">
      <c r="A81" s="45" t="s">
        <v>61</v>
      </c>
      <c r="B81" s="2"/>
      <c r="C81" s="47">
        <f t="shared" si="3"/>
        <v>55</v>
      </c>
      <c r="D81" s="2" t="s">
        <v>62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 t="s">
        <v>63</v>
      </c>
      <c r="P81" s="45">
        <f>P79-P80</f>
        <v>140</v>
      </c>
      <c r="Q81" s="2"/>
    </row>
    <row r="82" spans="1:17" x14ac:dyDescent="0.2">
      <c r="A82" s="45" t="s">
        <v>64</v>
      </c>
      <c r="B82" s="2"/>
      <c r="C82" s="47">
        <f t="shared" si="3"/>
        <v>195</v>
      </c>
      <c r="D82" s="2" t="s">
        <v>65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 t="s">
        <v>22</v>
      </c>
      <c r="P82" s="48">
        <f>2.8/((C83/4*86400)/500)^3</f>
        <v>325.00979382191213</v>
      </c>
      <c r="Q82" s="2"/>
    </row>
    <row r="83" spans="1:17" x14ac:dyDescent="0.2">
      <c r="A83" s="45" t="s">
        <v>66</v>
      </c>
      <c r="B83" s="2"/>
      <c r="C83" s="49">
        <f t="shared" si="3"/>
        <v>4.7453703703703703E-3</v>
      </c>
      <c r="D83" s="2" t="s">
        <v>67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 t="s">
        <v>68</v>
      </c>
      <c r="P83" s="48">
        <f>2.8/(((C84/2+Q83)*86400)/500)^3</f>
        <v>255.9169834553326</v>
      </c>
      <c r="Q83" s="50">
        <v>5.7870370370370366E-5</v>
      </c>
    </row>
    <row r="84" spans="1:17" x14ac:dyDescent="0.2">
      <c r="A84" s="45" t="s">
        <v>69</v>
      </c>
      <c r="B84" s="2"/>
      <c r="C84" s="49">
        <f t="shared" si="3"/>
        <v>2.4537037037037036E-3</v>
      </c>
      <c r="D84" s="2" t="s">
        <v>67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2">
      <c r="A86" s="51" t="s">
        <v>70</v>
      </c>
      <c r="B86" s="2"/>
      <c r="C86" s="52" t="s">
        <v>71</v>
      </c>
      <c r="D86" s="65" t="s">
        <v>72</v>
      </c>
      <c r="E86" s="66"/>
      <c r="F86" s="53" t="s">
        <v>73</v>
      </c>
      <c r="G86" s="53" t="s">
        <v>73</v>
      </c>
      <c r="H86" s="2" t="s">
        <v>74</v>
      </c>
      <c r="I86" s="2" t="s">
        <v>74</v>
      </c>
      <c r="J86" s="2"/>
      <c r="K86" s="2"/>
      <c r="L86" s="2"/>
      <c r="M86" s="2"/>
      <c r="N86" s="2"/>
      <c r="O86" s="2"/>
      <c r="P86" s="2"/>
      <c r="Q86" s="2"/>
    </row>
    <row r="87" spans="1:17" x14ac:dyDescent="0.2">
      <c r="A87" s="45" t="s">
        <v>75</v>
      </c>
      <c r="B87" s="2"/>
      <c r="C87" s="54" t="s">
        <v>76</v>
      </c>
      <c r="D87" s="54" t="s">
        <v>77</v>
      </c>
      <c r="E87" s="54">
        <f>$P$81*0.6+$P$80</f>
        <v>139</v>
      </c>
      <c r="F87" s="55">
        <f t="shared" ref="F87:G87" si="4">$H$16*0.6</f>
        <v>195.00587629314728</v>
      </c>
      <c r="G87" s="55">
        <f t="shared" si="4"/>
        <v>195.00587629314728</v>
      </c>
      <c r="H87" s="2" t="s">
        <v>78</v>
      </c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2">
      <c r="A88" s="45" t="s">
        <v>79</v>
      </c>
      <c r="B88" s="2"/>
      <c r="C88" s="54" t="s">
        <v>34</v>
      </c>
      <c r="D88" s="54">
        <f>$P$81*0.6+$P$80</f>
        <v>139</v>
      </c>
      <c r="E88" s="54">
        <f>$P$81*0.7+$P$80</f>
        <v>153</v>
      </c>
      <c r="F88" s="55">
        <f>$H$16*0.51</f>
        <v>165.75499484917518</v>
      </c>
      <c r="G88" s="55">
        <f>$H$16*0.6</f>
        <v>195.00587629314728</v>
      </c>
      <c r="H88" s="50">
        <f t="shared" ref="H88:I88" si="5">500*(2.8 / F88)^(1/3) / 86400</f>
        <v>1.4848641805900024E-3</v>
      </c>
      <c r="I88" s="50">
        <f t="shared" si="5"/>
        <v>1.4065646748079915E-3</v>
      </c>
      <c r="J88" s="2"/>
      <c r="K88" s="2"/>
      <c r="L88" s="2"/>
      <c r="M88" s="2"/>
      <c r="N88" s="2"/>
      <c r="O88" s="2"/>
      <c r="P88" s="2"/>
      <c r="Q88" s="2"/>
    </row>
    <row r="89" spans="1:17" x14ac:dyDescent="0.2">
      <c r="A89" s="45" t="s">
        <v>80</v>
      </c>
      <c r="B89" s="2"/>
      <c r="C89" s="54" t="s">
        <v>37</v>
      </c>
      <c r="D89" s="54">
        <f>$P$81*0.7+$P$80</f>
        <v>153</v>
      </c>
      <c r="E89" s="54">
        <f>$P$81*0.8+$P$80</f>
        <v>167</v>
      </c>
      <c r="F89" s="55">
        <f>$H$16*0.6</f>
        <v>195.00587629314728</v>
      </c>
      <c r="G89" s="55">
        <f>$H$16*0.7</f>
        <v>227.50685567533847</v>
      </c>
      <c r="H89" s="50">
        <f t="shared" ref="H89:I89" si="6">500*(2.8 / F89)^(1/3) / 86400</f>
        <v>1.4065646748079915E-3</v>
      </c>
      <c r="I89" s="50">
        <f t="shared" si="6"/>
        <v>1.3361158303873799E-3</v>
      </c>
      <c r="J89" s="50">
        <f t="shared" ref="J89:J92" si="7">(H89-I89)/2</f>
        <v>3.5224422210305821E-5</v>
      </c>
      <c r="K89" s="50">
        <f t="shared" ref="K89:K92" si="8">H89-J89</f>
        <v>1.3713402525976858E-3</v>
      </c>
      <c r="L89" s="2"/>
      <c r="M89" s="2"/>
      <c r="N89" s="2"/>
      <c r="O89" s="2"/>
      <c r="P89" s="2"/>
      <c r="Q89" s="2"/>
    </row>
    <row r="90" spans="1:17" x14ac:dyDescent="0.2">
      <c r="A90" s="45" t="s">
        <v>81</v>
      </c>
      <c r="B90" s="2"/>
      <c r="C90" s="54" t="s">
        <v>42</v>
      </c>
      <c r="D90" s="54">
        <f>$P$81*0.8+$P$80</f>
        <v>167</v>
      </c>
      <c r="E90" s="54">
        <f>$P$81*0.85+$P$80</f>
        <v>174</v>
      </c>
      <c r="F90" s="55">
        <f>$H$16*0.7</f>
        <v>227.50685567533847</v>
      </c>
      <c r="G90" s="55">
        <f>$H$16*0.8</f>
        <v>260.00783505752969</v>
      </c>
      <c r="H90" s="50">
        <f t="shared" ref="H90:I90" si="9">500*(2.8 / F90)^(1/3) / 86400</f>
        <v>1.3361158303873799E-3</v>
      </c>
      <c r="I90" s="50">
        <f t="shared" si="9"/>
        <v>1.277948817871922E-3</v>
      </c>
      <c r="J90" s="50">
        <f t="shared" si="7"/>
        <v>2.9083506257728941E-5</v>
      </c>
      <c r="K90" s="50">
        <f t="shared" si="8"/>
        <v>1.3070323241296509E-3</v>
      </c>
      <c r="L90" s="2"/>
      <c r="M90" s="2"/>
      <c r="N90" s="2"/>
      <c r="O90" s="2"/>
      <c r="P90" s="2"/>
      <c r="Q90" s="2"/>
    </row>
    <row r="91" spans="1:17" x14ac:dyDescent="0.2">
      <c r="A91" s="45" t="s">
        <v>82</v>
      </c>
      <c r="B91" s="2"/>
      <c r="C91" s="56" t="s">
        <v>47</v>
      </c>
      <c r="D91" s="54">
        <f>$P$81*0.85+$P$80</f>
        <v>174</v>
      </c>
      <c r="E91" s="54">
        <f>$P$81*0.95+$P$80</f>
        <v>188</v>
      </c>
      <c r="F91" s="55">
        <f>$H$16*0.8</f>
        <v>260.00783505752969</v>
      </c>
      <c r="G91" s="55">
        <f>$H$16*0.9</f>
        <v>292.50881443972094</v>
      </c>
      <c r="H91" s="50">
        <f t="shared" ref="H91:I91" si="10">500*(2.8 / F91)^(1/3) / 86400</f>
        <v>1.277948817871922E-3</v>
      </c>
      <c r="I91" s="50">
        <f t="shared" si="10"/>
        <v>1.2287474223004265E-3</v>
      </c>
      <c r="J91" s="50">
        <f t="shared" si="7"/>
        <v>2.460069778574775E-5</v>
      </c>
      <c r="K91" s="50">
        <f t="shared" si="8"/>
        <v>1.2533481200861741E-3</v>
      </c>
      <c r="L91" s="2"/>
      <c r="M91" s="2"/>
      <c r="N91" s="2"/>
      <c r="O91" s="2"/>
      <c r="P91" s="2"/>
      <c r="Q91" s="2"/>
    </row>
    <row r="92" spans="1:17" x14ac:dyDescent="0.2">
      <c r="A92" s="45" t="s">
        <v>83</v>
      </c>
      <c r="B92" s="2"/>
      <c r="C92" s="54" t="s">
        <v>84</v>
      </c>
      <c r="D92" s="54">
        <f>$P$81*0.95+$P$80</f>
        <v>188</v>
      </c>
      <c r="E92" s="54">
        <f>$P$81*1+$P$80</f>
        <v>195</v>
      </c>
      <c r="F92" s="55">
        <f>$H$16*1.05</f>
        <v>341.26028351300772</v>
      </c>
      <c r="G92" s="55">
        <f>$H$16*1.65</f>
        <v>536.26615980615497</v>
      </c>
      <c r="H92" s="50">
        <f t="shared" ref="H92:I92" si="11">500*(2.8 / F92)^(1/3) / 86400</f>
        <v>1.167204688051333E-3</v>
      </c>
      <c r="I92" s="50">
        <f t="shared" si="11"/>
        <v>1.0039578384354805E-3</v>
      </c>
      <c r="J92" s="50">
        <f t="shared" si="7"/>
        <v>8.1623424807926209E-5</v>
      </c>
      <c r="K92" s="50">
        <f t="shared" si="8"/>
        <v>1.0855812632434066E-3</v>
      </c>
      <c r="L92" s="2"/>
      <c r="M92" s="2"/>
      <c r="N92" s="2"/>
      <c r="O92" s="2"/>
      <c r="P92" s="2"/>
      <c r="Q92" s="2"/>
    </row>
  </sheetData>
  <mergeCells count="13">
    <mergeCell ref="D86:E86"/>
    <mergeCell ref="D1:H1"/>
    <mergeCell ref="A6:B6"/>
    <mergeCell ref="A7:B7"/>
    <mergeCell ref="A8:B8"/>
    <mergeCell ref="A9:B9"/>
    <mergeCell ref="A10:B10"/>
    <mergeCell ref="A13:H13"/>
    <mergeCell ref="A11:B11"/>
    <mergeCell ref="A15:B15"/>
    <mergeCell ref="A16:B16"/>
    <mergeCell ref="F15:G15"/>
    <mergeCell ref="F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Zone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Dutney</dc:creator>
  <cp:lastModifiedBy>J. Moffat</cp:lastModifiedBy>
  <dcterms:created xsi:type="dcterms:W3CDTF">2024-08-31T13:30:31Z</dcterms:created>
  <dcterms:modified xsi:type="dcterms:W3CDTF">2026-01-25T19:38:59Z</dcterms:modified>
</cp:coreProperties>
</file>